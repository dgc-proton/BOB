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dmin\Desktop\BOB\design\"/>
    </mc:Choice>
  </mc:AlternateContent>
  <xr:revisionPtr revIDLastSave="0" documentId="13_ncr:1_{8718F6C7-18EA-408A-8EA3-9B1BF5AB31D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 s="1"/>
  <c r="F7" i="1"/>
  <c r="F8" i="1"/>
  <c r="F6" i="1"/>
  <c r="F3" i="1"/>
  <c r="F4" i="1"/>
  <c r="F5" i="1"/>
  <c r="F2" i="1"/>
  <c r="F11" i="1" l="1"/>
</calcChain>
</file>

<file path=xl/sharedStrings.xml><?xml version="1.0" encoding="utf-8"?>
<sst xmlns="http://schemas.openxmlformats.org/spreadsheetml/2006/main" count="32" uniqueCount="19">
  <si>
    <t>Parts</t>
  </si>
  <si>
    <t>Quantity</t>
  </si>
  <si>
    <t>Links</t>
  </si>
  <si>
    <t>Cost</t>
  </si>
  <si>
    <t>Given</t>
  </si>
  <si>
    <t xml:space="preserve">HC-SR04 Ultrasonic Sensor </t>
  </si>
  <si>
    <t>N.A.</t>
  </si>
  <si>
    <t>Total Mass</t>
  </si>
  <si>
    <t>Battery</t>
  </si>
  <si>
    <t>Mass (g)</t>
  </si>
  <si>
    <t>Motor driver L298N</t>
  </si>
  <si>
    <t>N20 DC GEARED MOTOR</t>
  </si>
  <si>
    <t>Sum</t>
  </si>
  <si>
    <t>Remainder</t>
  </si>
  <si>
    <t>43MM N20</t>
  </si>
  <si>
    <t>Hailege ESP32 ESP-32S ESP-WROOM-32</t>
  </si>
  <si>
    <t>QTR-1A Infrared</t>
  </si>
  <si>
    <t>Mass of Shell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</si>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</sst>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5" sqref="E15"/>
    </sheetView>
  </sheetViews>
  <sheetFormatPr defaultRowHeight="14.5" x14ac:dyDescent="0.35"/>
  <cols>
    <col min="1" max="1" width="3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7</v>
      </c>
    </row>
    <row r="2" spans="1:7" x14ac:dyDescent="0.35">
      <c r="A2" t="s">
        <v>15</v>
      </c>
      <c r="B2">
        <v>1</v>
      </c>
      <c r="C2" t="s">
        <v>6</v>
      </c>
      <c r="D2" t="s">
        <v>4</v>
      </c>
      <c r="E2">
        <v>10</v>
      </c>
      <c r="F2">
        <f>B2*E2</f>
        <v>10</v>
      </c>
    </row>
    <row r="3" spans="1:7" x14ac:dyDescent="0.35">
      <c r="A3" t="s">
        <v>5</v>
      </c>
      <c r="B3">
        <v>2</v>
      </c>
      <c r="C3" t="s">
        <v>6</v>
      </c>
      <c r="D3" t="s">
        <v>4</v>
      </c>
      <c r="E3">
        <v>9</v>
      </c>
      <c r="F3">
        <f t="shared" ref="F3:F8" si="0">B3*E3</f>
        <v>18</v>
      </c>
    </row>
    <row r="4" spans="1:7" x14ac:dyDescent="0.35">
      <c r="A4" t="s">
        <v>8</v>
      </c>
      <c r="B4">
        <v>1</v>
      </c>
      <c r="C4" t="s">
        <v>6</v>
      </c>
      <c r="D4" t="s">
        <v>4</v>
      </c>
      <c r="E4">
        <v>200</v>
      </c>
      <c r="F4">
        <f t="shared" si="0"/>
        <v>200</v>
      </c>
    </row>
    <row r="5" spans="1:7" x14ac:dyDescent="0.35">
      <c r="A5" t="s">
        <v>10</v>
      </c>
      <c r="B5">
        <v>1</v>
      </c>
      <c r="C5" t="s">
        <v>6</v>
      </c>
      <c r="D5" t="s">
        <v>4</v>
      </c>
      <c r="E5">
        <v>33</v>
      </c>
      <c r="F5">
        <f t="shared" si="0"/>
        <v>33</v>
      </c>
    </row>
    <row r="6" spans="1:7" x14ac:dyDescent="0.35">
      <c r="A6" t="s">
        <v>11</v>
      </c>
      <c r="B6">
        <v>2</v>
      </c>
      <c r="C6" t="s">
        <v>6</v>
      </c>
      <c r="D6" t="s">
        <v>4</v>
      </c>
      <c r="E6">
        <v>10</v>
      </c>
      <c r="F6">
        <f t="shared" si="0"/>
        <v>20</v>
      </c>
    </row>
    <row r="7" spans="1:7" x14ac:dyDescent="0.35">
      <c r="A7" t="s">
        <v>14</v>
      </c>
      <c r="B7">
        <v>2</v>
      </c>
      <c r="C7" t="s">
        <v>6</v>
      </c>
      <c r="D7" t="s">
        <v>4</v>
      </c>
      <c r="E7">
        <v>19</v>
      </c>
      <c r="F7">
        <f t="shared" si="0"/>
        <v>38</v>
      </c>
    </row>
    <row r="8" spans="1:7" x14ac:dyDescent="0.35">
      <c r="A8" t="s">
        <v>16</v>
      </c>
      <c r="B8">
        <v>2</v>
      </c>
      <c r="C8" t="s">
        <v>6</v>
      </c>
      <c r="D8" t="s">
        <v>4</v>
      </c>
      <c r="E8">
        <v>0.2</v>
      </c>
      <c r="F8">
        <f t="shared" si="0"/>
        <v>0.4</v>
      </c>
    </row>
    <row r="9" spans="1:7" x14ac:dyDescent="0.35">
      <c r="A9" t="s">
        <v>17</v>
      </c>
      <c r="B9">
        <v>1</v>
      </c>
      <c r="C9" t="s">
        <v>6</v>
      </c>
      <c r="D9" t="s">
        <v>18</v>
      </c>
      <c r="E9">
        <v>139.03</v>
      </c>
      <c r="F9">
        <f>B9*E9</f>
        <v>139.03</v>
      </c>
    </row>
    <row r="10" spans="1:7" x14ac:dyDescent="0.35">
      <c r="F10" s="1">
        <f>SUM(F2:F9)</f>
        <v>458.42999999999995</v>
      </c>
      <c r="G10" s="1" t="s">
        <v>12</v>
      </c>
    </row>
    <row r="11" spans="1:7" x14ac:dyDescent="0.35">
      <c r="F11">
        <f>500-F10</f>
        <v>41.57000000000005</v>
      </c>
      <c r="G11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ZAMMIT, LOIC (UG)</cp:lastModifiedBy>
  <dcterms:created xsi:type="dcterms:W3CDTF">2015-06-05T18:17:20Z</dcterms:created>
  <dcterms:modified xsi:type="dcterms:W3CDTF">2024-02-14T18:28:20Z</dcterms:modified>
</cp:coreProperties>
</file>